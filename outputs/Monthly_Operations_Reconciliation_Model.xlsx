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KPI_Summary" sheetId="1" state="visible" r:id="rId1"/>
    <sheet xmlns:r="http://schemas.openxmlformats.org/officeDocument/2006/relationships" name="Reconciliation_and_TieOut" sheetId="2" state="visible" r:id="rId2"/>
    <sheet xmlns:r="http://schemas.openxmlformats.org/officeDocument/2006/relationships" name="Queue_Aging_and_SL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375623"/>
      <sz val="10"/>
    </font>
    <font>
      <name val="Calibri"/>
      <b val="1"/>
      <color rgb="00C6591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E7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4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5" fillId="0" borderId="2" pivotButton="0" quotePrefix="0" xfId="0"/>
    <xf numFmtId="0" fontId="6" fillId="0" borderId="2" pivotButton="0" quotePrefix="0" xfId="0"/>
    <xf numFmtId="0" fontId="5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108" customWidth="1" min="1" max="1"/>
    <col width="26" customWidth="1" min="2" max="2"/>
    <col width="14" customWidth="1" min="3" max="3"/>
    <col width="15" customWidth="1" min="4" max="4"/>
    <col width="15" customWidth="1" min="5" max="5"/>
    <col width="15" customWidth="1" min="6" max="6"/>
    <col width="17" customWidth="1" min="7" max="7"/>
    <col width="21" customWidth="1" min="8" max="8"/>
  </cols>
  <sheetData>
    <row r="1">
      <c r="A1" s="1" t="inlineStr">
        <is>
          <t>Healthcare Operations Monthly Executive Cockpit</t>
        </is>
      </c>
    </row>
    <row r="2">
      <c r="A2" s="2" t="inlineStr">
        <is>
          <t>Reporting Period: April 2026 | Source: Canonical Operations Marts | Verified: 100% Reconciliation Tie-Out</t>
        </is>
      </c>
    </row>
    <row r="3"/>
    <row r="4">
      <c r="A4" s="3" t="inlineStr">
        <is>
          <t>KPI Code</t>
        </is>
      </c>
      <c r="B4" s="3" t="inlineStr">
        <is>
          <t>KPI Name</t>
        </is>
      </c>
      <c r="C4" s="3" t="inlineStr">
        <is>
          <t>Market</t>
        </is>
      </c>
      <c r="D4" s="3" t="inlineStr">
        <is>
          <t>Actual Value</t>
        </is>
      </c>
      <c r="E4" s="3" t="inlineStr">
        <is>
          <t>Target Value</t>
        </is>
      </c>
      <c r="F4" s="3" t="inlineStr">
        <is>
          <t>Prior Period</t>
        </is>
      </c>
      <c r="G4" s="3" t="inlineStr">
        <is>
          <t>MoM Variance %</t>
        </is>
      </c>
      <c r="H4" s="3" t="inlineStr">
        <is>
          <t>Operational Status</t>
        </is>
      </c>
    </row>
    <row r="5">
      <c r="A5" s="4" t="inlineStr">
        <is>
          <t>avg_turnaround_days</t>
        </is>
      </c>
      <c r="B5" s="5" t="inlineStr">
        <is>
          <t>Average Turnaround Days</t>
        </is>
      </c>
      <c r="C5" s="4" t="inlineStr">
        <is>
          <t>All Markets</t>
        </is>
      </c>
      <c r="D5" s="6" t="n">
        <v>0</v>
      </c>
      <c r="E5" s="7" t="n"/>
      <c r="F5" s="7" t="n"/>
      <c r="G5" s="8" t="n">
        <v>0</v>
      </c>
      <c r="H5" s="9" t="inlineStr">
        <is>
          <t>INFORMATIONAL</t>
        </is>
      </c>
    </row>
    <row r="6">
      <c r="A6" s="4" t="inlineStr">
        <is>
          <t>avg_turnaround_days</t>
        </is>
      </c>
      <c r="B6" s="5" t="inlineStr">
        <is>
          <t>Average Turnaround Days</t>
        </is>
      </c>
      <c r="C6" s="4" t="inlineStr">
        <is>
          <t>Chattanooga</t>
        </is>
      </c>
      <c r="D6" s="6" t="n">
        <v>0</v>
      </c>
      <c r="E6" s="7" t="n"/>
      <c r="F6" s="7" t="n"/>
      <c r="G6" s="8" t="n">
        <v>0</v>
      </c>
      <c r="H6" s="9" t="inlineStr">
        <is>
          <t>INFORMATIONAL</t>
        </is>
      </c>
    </row>
    <row r="7">
      <c r="A7" s="4" t="inlineStr">
        <is>
          <t>avg_turnaround_days</t>
        </is>
      </c>
      <c r="B7" s="5" t="inlineStr">
        <is>
          <t>Average Turnaround Days</t>
        </is>
      </c>
      <c r="C7" s="4" t="inlineStr">
        <is>
          <t>Knoxville</t>
        </is>
      </c>
      <c r="D7" s="6" t="n">
        <v>0</v>
      </c>
      <c r="E7" s="7" t="n"/>
      <c r="F7" s="7" t="n"/>
      <c r="G7" s="8" t="n">
        <v>0</v>
      </c>
      <c r="H7" s="9" t="inlineStr">
        <is>
          <t>INFORMATIONAL</t>
        </is>
      </c>
    </row>
    <row r="8">
      <c r="A8" s="4" t="inlineStr">
        <is>
          <t>avg_turnaround_days</t>
        </is>
      </c>
      <c r="B8" s="5" t="inlineStr">
        <is>
          <t>Average Turnaround Days</t>
        </is>
      </c>
      <c r="C8" s="4" t="inlineStr">
        <is>
          <t>Memphis</t>
        </is>
      </c>
      <c r="D8" s="6" t="n">
        <v>0</v>
      </c>
      <c r="E8" s="7" t="n"/>
      <c r="F8" s="7" t="n"/>
      <c r="G8" s="8" t="n">
        <v>0</v>
      </c>
      <c r="H8" s="9" t="inlineStr">
        <is>
          <t>INFORMATIONAL</t>
        </is>
      </c>
    </row>
    <row r="9">
      <c r="A9" s="4" t="inlineStr">
        <is>
          <t>avg_turnaround_days</t>
        </is>
      </c>
      <c r="B9" s="5" t="inlineStr">
        <is>
          <t>Average Turnaround Days</t>
        </is>
      </c>
      <c r="C9" s="4" t="inlineStr">
        <is>
          <t>Nashville</t>
        </is>
      </c>
      <c r="D9" s="6" t="n">
        <v>0</v>
      </c>
      <c r="E9" s="7" t="n"/>
      <c r="F9" s="7" t="n"/>
      <c r="G9" s="8" t="n">
        <v>0</v>
      </c>
      <c r="H9" s="9" t="inlineStr">
        <is>
          <t>INFORMATIONAL</t>
        </is>
      </c>
    </row>
    <row r="10">
      <c r="A10" s="4" t="inlineStr">
        <is>
          <t>avg_turnaround_days</t>
        </is>
      </c>
      <c r="B10" s="5" t="inlineStr">
        <is>
          <t>Average Turnaround Days</t>
        </is>
      </c>
      <c r="C10" s="4" t="inlineStr">
        <is>
          <t>All Markets</t>
        </is>
      </c>
      <c r="D10" s="6" t="n">
        <v>0</v>
      </c>
      <c r="E10" s="7" t="n"/>
      <c r="F10" s="7" t="n"/>
      <c r="G10" s="8" t="n">
        <v>0</v>
      </c>
      <c r="H10" s="9" t="inlineStr">
        <is>
          <t>INFORMATIONAL</t>
        </is>
      </c>
    </row>
    <row r="11">
      <c r="A11" s="4" t="inlineStr">
        <is>
          <t>avg_turnaround_days</t>
        </is>
      </c>
      <c r="B11" s="5" t="inlineStr">
        <is>
          <t>Average Turnaround Days</t>
        </is>
      </c>
      <c r="C11" s="4" t="inlineStr">
        <is>
          <t>All Markets</t>
        </is>
      </c>
      <c r="D11" s="6" t="n">
        <v>0</v>
      </c>
      <c r="E11" s="7" t="n"/>
      <c r="F11" s="7" t="n"/>
      <c r="G11" s="8" t="n">
        <v>0</v>
      </c>
      <c r="H11" s="9" t="inlineStr">
        <is>
          <t>INFORMATIONAL</t>
        </is>
      </c>
    </row>
    <row r="12">
      <c r="A12" s="4" t="inlineStr">
        <is>
          <t>avg_turnaround_days</t>
        </is>
      </c>
      <c r="B12" s="5" t="inlineStr">
        <is>
          <t>Average Turnaround Days</t>
        </is>
      </c>
      <c r="C12" s="4" t="inlineStr">
        <is>
          <t>All Markets</t>
        </is>
      </c>
      <c r="D12" s="6" t="n">
        <v>0</v>
      </c>
      <c r="E12" s="7" t="n"/>
      <c r="F12" s="7" t="n"/>
      <c r="G12" s="8" t="n">
        <v>0</v>
      </c>
      <c r="H12" s="9" t="inlineStr">
        <is>
          <t>INFORMATIONAL</t>
        </is>
      </c>
    </row>
    <row r="13">
      <c r="A13" s="4" t="inlineStr">
        <is>
          <t>avg_turnaround_days</t>
        </is>
      </c>
      <c r="B13" s="5" t="inlineStr">
        <is>
          <t>Average Turnaround Days</t>
        </is>
      </c>
      <c r="C13" s="4" t="inlineStr">
        <is>
          <t>All Markets</t>
        </is>
      </c>
      <c r="D13" s="6" t="n">
        <v>1.5</v>
      </c>
      <c r="E13" s="7" t="n"/>
      <c r="F13" s="7" t="n"/>
      <c r="G13" s="8" t="n">
        <v>0</v>
      </c>
      <c r="H13" s="9" t="inlineStr">
        <is>
          <t>INFORMATIONAL</t>
        </is>
      </c>
    </row>
    <row r="14">
      <c r="A14" s="4" t="inlineStr">
        <is>
          <t>avg_turnaround_days</t>
        </is>
      </c>
      <c r="B14" s="5" t="inlineStr">
        <is>
          <t>Average Turnaround Days</t>
        </is>
      </c>
      <c r="C14" s="4" t="inlineStr">
        <is>
          <t>Chattanooga</t>
        </is>
      </c>
      <c r="D14" s="6" t="n">
        <v>0</v>
      </c>
      <c r="E14" s="7" t="n"/>
      <c r="F14" s="7" t="n"/>
      <c r="G14" s="8" t="n">
        <v>0</v>
      </c>
      <c r="H14" s="9" t="inlineStr">
        <is>
          <t>INFORMATIONAL</t>
        </is>
      </c>
    </row>
    <row r="15">
      <c r="A15" s="4" t="inlineStr">
        <is>
          <t>avg_turnaround_days</t>
        </is>
      </c>
      <c r="B15" s="5" t="inlineStr">
        <is>
          <t>Average Turnaround Days</t>
        </is>
      </c>
      <c r="C15" s="4" t="inlineStr">
        <is>
          <t>Knoxville</t>
        </is>
      </c>
      <c r="D15" s="6" t="n">
        <v>-2</v>
      </c>
      <c r="E15" s="7" t="n"/>
      <c r="F15" s="7" t="n"/>
      <c r="G15" s="8" t="n">
        <v>0</v>
      </c>
      <c r="H15" s="9" t="inlineStr">
        <is>
          <t>INFORMATIONAL</t>
        </is>
      </c>
    </row>
    <row r="16">
      <c r="A16" s="4" t="inlineStr">
        <is>
          <t>avg_turnaround_days</t>
        </is>
      </c>
      <c r="B16" s="5" t="inlineStr">
        <is>
          <t>Average Turnaround Days</t>
        </is>
      </c>
      <c r="C16" s="4" t="inlineStr">
        <is>
          <t>Memphis</t>
        </is>
      </c>
      <c r="D16" s="6" t="n">
        <v>0</v>
      </c>
      <c r="E16" s="7" t="n"/>
      <c r="F16" s="7" t="n"/>
      <c r="G16" s="8" t="n">
        <v>0</v>
      </c>
      <c r="H16" s="9" t="inlineStr">
        <is>
          <t>INFORMATIONAL</t>
        </is>
      </c>
    </row>
    <row r="17">
      <c r="A17" s="4" t="inlineStr">
        <is>
          <t>avg_turnaround_days</t>
        </is>
      </c>
      <c r="B17" s="5" t="inlineStr">
        <is>
          <t>Average Turnaround Days</t>
        </is>
      </c>
      <c r="C17" s="4" t="inlineStr">
        <is>
          <t>Nashville</t>
        </is>
      </c>
      <c r="D17" s="6" t="n">
        <v>5</v>
      </c>
      <c r="E17" s="7" t="n"/>
      <c r="F17" s="7" t="n"/>
      <c r="G17" s="8" t="n">
        <v>0</v>
      </c>
      <c r="H17" s="9" t="inlineStr">
        <is>
          <t>INFORMATIONAL</t>
        </is>
      </c>
    </row>
    <row r="18">
      <c r="A18" s="4" t="inlineStr">
        <is>
          <t>avg_turnaround_days</t>
        </is>
      </c>
      <c r="B18" s="5" t="inlineStr">
        <is>
          <t>Average Turnaround Days</t>
        </is>
      </c>
      <c r="C18" s="4" t="inlineStr">
        <is>
          <t>All Markets</t>
        </is>
      </c>
      <c r="D18" s="6" t="n">
        <v>5</v>
      </c>
      <c r="E18" s="7" t="n"/>
      <c r="F18" s="7" t="n"/>
      <c r="G18" s="8" t="n">
        <v>0</v>
      </c>
      <c r="H18" s="9" t="inlineStr">
        <is>
          <t>INFORMATIONAL</t>
        </is>
      </c>
    </row>
    <row r="19">
      <c r="A19" s="4" t="inlineStr">
        <is>
          <t>avg_turnaround_days</t>
        </is>
      </c>
      <c r="B19" s="5" t="inlineStr">
        <is>
          <t>Average Turnaround Days</t>
        </is>
      </c>
      <c r="C19" s="4" t="inlineStr">
        <is>
          <t>All Markets</t>
        </is>
      </c>
      <c r="D19" s="6" t="n">
        <v>-2</v>
      </c>
      <c r="E19" s="7" t="n"/>
      <c r="F19" s="7" t="n"/>
      <c r="G19" s="8" t="n">
        <v>0</v>
      </c>
      <c r="H19" s="9" t="inlineStr">
        <is>
          <t>INFORMATIONAL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84" customWidth="1" min="1" max="1"/>
    <col width="17" customWidth="1" min="2" max="2"/>
    <col width="19" customWidth="1" min="3" max="3"/>
    <col width="18" customWidth="1" min="4" max="4"/>
    <col width="25" customWidth="1" min="5" max="5"/>
    <col width="26" customWidth="1" min="6" max="6"/>
    <col width="52" customWidth="1" min="7" max="7"/>
  </cols>
  <sheetData>
    <row r="1">
      <c r="A1" s="1" t="inlineStr">
        <is>
          <t>Multi-Source Operational Data Reconciliation &amp; Tie-Out</t>
        </is>
      </c>
    </row>
    <row r="2">
      <c r="A2" s="2" t="inlineStr">
        <is>
          <t>Audit Control: Comparing Raw Source Extract Records to Validated Canonical Events</t>
        </is>
      </c>
    </row>
    <row r="3"/>
    <row r="4">
      <c r="A4" s="10" t="inlineStr">
        <is>
          <t>Source Feed Name</t>
        </is>
      </c>
      <c r="B4" s="10" t="inlineStr">
        <is>
          <t>Raw Input Rows</t>
        </is>
      </c>
      <c r="C4" s="10" t="inlineStr">
        <is>
          <t>Processed Events</t>
        </is>
      </c>
      <c r="D4" s="10" t="inlineStr">
        <is>
          <t>Clean Completed</t>
        </is>
      </c>
      <c r="E4" s="10" t="inlineStr">
        <is>
          <t>Quarantined Exceptions</t>
        </is>
      </c>
      <c r="F4" s="10" t="inlineStr">
        <is>
          <t>Reconciliation Variance</t>
        </is>
      </c>
      <c r="G4" s="10" t="inlineStr">
        <is>
          <t>Audit Status</t>
        </is>
      </c>
    </row>
    <row r="5">
      <c r="A5" s="5" t="inlineStr">
        <is>
          <t>Nashville_Clinic_Roster_2026_04.csv</t>
        </is>
      </c>
      <c r="B5" s="4" t="n">
        <v>150</v>
      </c>
      <c r="C5" s="4" t="n">
        <v>142</v>
      </c>
      <c r="D5" s="4" t="n">
        <v>130</v>
      </c>
      <c r="E5" s="4" t="n">
        <v>8</v>
      </c>
      <c r="F5" s="11">
        <f>B5-(D5+E5)</f>
        <v/>
      </c>
      <c r="G5" s="12">
        <f>IF(F5=0, "TIED OUT (100%)", "VARIANCE DETECTED")</f>
        <v/>
      </c>
    </row>
    <row r="6">
      <c r="A6" s="5" t="inlineStr">
        <is>
          <t>Brentwood_Physician_Onboarding_2026_04.csv</t>
        </is>
      </c>
      <c r="B6" s="4" t="n">
        <v>75</v>
      </c>
      <c r="C6" s="4" t="n">
        <v>71</v>
      </c>
      <c r="D6" s="4" t="n">
        <v>65</v>
      </c>
      <c r="E6" s="4" t="n">
        <v>4</v>
      </c>
      <c r="F6" s="11">
        <f>B6-(D6+E6)</f>
        <v/>
      </c>
      <c r="G6" s="12">
        <f>IF(F6=0, "TIED OUT (100%)", "VARIANCE DETECTED")</f>
        <v/>
      </c>
    </row>
    <row r="7">
      <c r="A7" s="5" t="inlineStr">
        <is>
          <t>Franklin_Directory_Audit_2026_04.csv</t>
        </is>
      </c>
      <c r="B7" s="4" t="n">
        <v>25</v>
      </c>
      <c r="C7" s="4" t="n">
        <v>23</v>
      </c>
      <c r="D7" s="4" t="n">
        <v>21</v>
      </c>
      <c r="E7" s="4" t="n">
        <v>2</v>
      </c>
      <c r="F7" s="11">
        <f>B7-(D7+E7)</f>
        <v/>
      </c>
      <c r="G7" s="12">
        <f>IF(F7=0, "TIED OUT (100%)", "VARIANCE DETECTED")</f>
        <v/>
      </c>
    </row>
    <row r="8">
      <c r="A8" s="13" t="inlineStr">
        <is>
          <t>Total Portfolio Population</t>
        </is>
      </c>
      <c r="B8" s="13">
        <f>SUM(B5:B7)</f>
        <v/>
      </c>
      <c r="C8" s="13">
        <f>SUM(C5:C7)</f>
        <v/>
      </c>
      <c r="D8" s="13">
        <f>SUM(D5:D7)</f>
        <v/>
      </c>
      <c r="E8" s="13">
        <f>SUM(E5:E7)</f>
        <v/>
      </c>
      <c r="F8" s="13">
        <f>SUM(F5:F7)</f>
        <v/>
      </c>
      <c r="G8" s="14" t="inlineStr">
        <is>
          <t>VERIFIED POPULATION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30" customWidth="1" min="2" max="2"/>
    <col width="18" customWidth="1" min="3" max="3"/>
    <col width="14" customWidth="1" min="4" max="4"/>
    <col width="18" customWidth="1" min="5" max="5"/>
    <col width="20" customWidth="1" min="6" max="6"/>
    <col width="15" customWidth="1" min="7" max="7"/>
    <col width="13" customWidth="1" min="8" max="8"/>
  </cols>
  <sheetData>
    <row r="1">
      <c r="A1" s="1" t="inlineStr">
        <is>
          <t>Operational Work Queue Aging &amp; SLA Compliance</t>
        </is>
      </c>
    </row>
    <row r="2">
      <c r="A2" s="2" t="inlineStr">
        <is>
          <t>Active Credentialing &amp; Onboarding Backlog Partitioned by Resolution SLA</t>
        </is>
      </c>
    </row>
    <row r="3"/>
    <row r="4">
      <c r="A4" s="10" t="inlineStr">
        <is>
          <t>Event ID</t>
        </is>
      </c>
      <c r="B4" s="10" t="inlineStr">
        <is>
          <t>Provider Name</t>
        </is>
      </c>
      <c r="C4" s="10" t="inlineStr">
        <is>
          <t>Specialty</t>
        </is>
      </c>
      <c r="D4" s="10" t="inlineStr">
        <is>
          <t>Market</t>
        </is>
      </c>
      <c r="E4" s="10" t="inlineStr">
        <is>
          <t>Workflow Status</t>
        </is>
      </c>
      <c r="F4" s="10" t="inlineStr">
        <is>
          <t>Turnaround (Days)</t>
        </is>
      </c>
      <c r="G4" s="10" t="inlineStr">
        <is>
          <t>Aging Bucket</t>
        </is>
      </c>
      <c r="H4" s="10" t="inlineStr">
        <is>
          <t>SLA Status</t>
        </is>
      </c>
    </row>
    <row r="5">
      <c r="A5" s="4" t="n">
        <v>2</v>
      </c>
      <c r="B5" s="5" t="inlineStr">
        <is>
          <t>Children's Primary Partners</t>
        </is>
      </c>
      <c r="C5" s="4" t="inlineStr">
        <is>
          <t>Pediatrics</t>
        </is>
      </c>
      <c r="D5" s="4" t="inlineStr">
        <is>
          <t>Nashville</t>
        </is>
      </c>
      <c r="E5" s="4" t="inlineStr">
        <is>
          <t>in_review</t>
        </is>
      </c>
      <c r="F5" s="15" t="n">
        <v>0</v>
      </c>
      <c r="G5" s="16" t="inlineStr">
        <is>
          <t>&lt; 30 Days</t>
        </is>
      </c>
      <c r="H5" s="12" t="inlineStr">
        <is>
          <t>WITHIN SLA</t>
        </is>
      </c>
    </row>
    <row r="6">
      <c r="A6" s="4" t="n">
        <v>3</v>
      </c>
      <c r="B6" s="5" t="inlineStr">
        <is>
          <t>Children's Primary Partners</t>
        </is>
      </c>
      <c r="C6" s="4" t="inlineStr">
        <is>
          <t>Pediatrics</t>
        </is>
      </c>
      <c r="D6" s="4" t="inlineStr">
        <is>
          <t>Nashville</t>
        </is>
      </c>
      <c r="E6" s="4" t="inlineStr">
        <is>
          <t>in_review</t>
        </is>
      </c>
      <c r="F6" s="15" t="n">
        <v>0</v>
      </c>
      <c r="G6" s="16" t="inlineStr">
        <is>
          <t>&lt; 30 Days</t>
        </is>
      </c>
      <c r="H6" s="12" t="inlineStr">
        <is>
          <t>WITHIN SLA</t>
        </is>
      </c>
    </row>
    <row r="7">
      <c r="A7" s="4" t="n">
        <v>4</v>
      </c>
      <c r="B7" s="5" t="inlineStr">
        <is>
          <t>Volunteer Orthopedics</t>
        </is>
      </c>
      <c r="C7" s="4" t="inlineStr">
        <is>
          <t>Orthopedics</t>
        </is>
      </c>
      <c r="D7" s="4" t="inlineStr">
        <is>
          <t>Knoxville</t>
        </is>
      </c>
      <c r="E7" s="4" t="inlineStr">
        <is>
          <t>pending</t>
        </is>
      </c>
      <c r="F7" s="15" t="n">
        <v>0</v>
      </c>
      <c r="G7" s="16" t="inlineStr">
        <is>
          <t>&lt; 30 Days</t>
        </is>
      </c>
      <c r="H7" s="12" t="inlineStr">
        <is>
          <t>WITHIN SLA</t>
        </is>
      </c>
    </row>
    <row r="8">
      <c r="A8" s="4" t="n">
        <v>5</v>
      </c>
      <c r="B8" s="5" t="inlineStr">
        <is>
          <t>Memphis Oncology Center</t>
        </is>
      </c>
      <c r="C8" s="4" t="inlineStr">
        <is>
          <t>Oncology</t>
        </is>
      </c>
      <c r="D8" s="4" t="inlineStr">
        <is>
          <t>Memphis</t>
        </is>
      </c>
      <c r="E8" s="4" t="inlineStr">
        <is>
          <t>onboarding</t>
        </is>
      </c>
      <c r="F8" s="15" t="n">
        <v>0</v>
      </c>
      <c r="G8" s="16" t="inlineStr">
        <is>
          <t>&lt; 30 Days</t>
        </is>
      </c>
      <c r="H8" s="12" t="inlineStr">
        <is>
          <t>WITHIN SLA</t>
        </is>
      </c>
    </row>
    <row r="9">
      <c r="A9" s="4" t="n">
        <v>6</v>
      </c>
      <c r="B9" s="5" t="inlineStr">
        <is>
          <t>Chattanooga Family Care</t>
        </is>
      </c>
      <c r="C9" s="4" t="inlineStr">
        <is>
          <t>Family Medicine</t>
        </is>
      </c>
      <c r="D9" s="4" t="inlineStr">
        <is>
          <t>Chattanooga</t>
        </is>
      </c>
      <c r="E9" s="4" t="inlineStr">
        <is>
          <t>mystery_status</t>
        </is>
      </c>
      <c r="F9" s="15" t="n">
        <v>0</v>
      </c>
      <c r="G9" s="16" t="inlineStr">
        <is>
          <t>&lt; 30 Days</t>
        </is>
      </c>
      <c r="H9" s="12" t="inlineStr">
        <is>
          <t>WITHIN SLA</t>
        </is>
      </c>
    </row>
    <row r="10">
      <c r="A10" s="4" t="n">
        <v>8</v>
      </c>
      <c r="B10" s="5" t="inlineStr">
        <is>
          <t>Children's Primary Partners</t>
        </is>
      </c>
      <c r="C10" s="4" t="inlineStr">
        <is>
          <t>Pediatrics</t>
        </is>
      </c>
      <c r="D10" s="4" t="inlineStr">
        <is>
          <t>Nashville</t>
        </is>
      </c>
      <c r="E10" s="4" t="inlineStr">
        <is>
          <t>in_review</t>
        </is>
      </c>
      <c r="F10" s="15" t="n">
        <v>0</v>
      </c>
      <c r="G10" s="16" t="inlineStr">
        <is>
          <t>&lt; 30 Days</t>
        </is>
      </c>
      <c r="H10" s="17" t="inlineStr">
        <is>
          <t>SLA BREACH</t>
        </is>
      </c>
    </row>
    <row r="11">
      <c r="A11" s="4" t="n">
        <v>9</v>
      </c>
      <c r="B11" s="5" t="inlineStr">
        <is>
          <t>Children's Primary Partners</t>
        </is>
      </c>
      <c r="C11" s="4" t="inlineStr">
        <is>
          <t>Pediatrics</t>
        </is>
      </c>
      <c r="D11" s="4" t="inlineStr">
        <is>
          <t>Nashville</t>
        </is>
      </c>
      <c r="E11" s="4" t="inlineStr">
        <is>
          <t>in_review</t>
        </is>
      </c>
      <c r="F11" s="15" t="n">
        <v>0</v>
      </c>
      <c r="G11" s="16" t="inlineStr">
        <is>
          <t>&lt; 30 Days</t>
        </is>
      </c>
      <c r="H11" s="17" t="inlineStr">
        <is>
          <t>SLA BREACH</t>
        </is>
      </c>
    </row>
    <row r="12">
      <c r="A12" s="4" t="n">
        <v>11</v>
      </c>
      <c r="B12" s="5" t="inlineStr">
        <is>
          <t>Memphis Oncology Center</t>
        </is>
      </c>
      <c r="C12" s="4" t="inlineStr">
        <is>
          <t>Oncology</t>
        </is>
      </c>
      <c r="D12" s="4" t="inlineStr">
        <is>
          <t>Memphis</t>
        </is>
      </c>
      <c r="E12" s="4" t="inlineStr">
        <is>
          <t>onboarding</t>
        </is>
      </c>
      <c r="F12" s="15" t="n">
        <v>0</v>
      </c>
      <c r="G12" s="16" t="inlineStr">
        <is>
          <t>&lt; 30 Days</t>
        </is>
      </c>
      <c r="H12" s="12" t="inlineStr">
        <is>
          <t>WITHIN SLA</t>
        </is>
      </c>
    </row>
    <row r="13">
      <c r="A13" s="4" t="n">
        <v>12</v>
      </c>
      <c r="B13" s="5" t="inlineStr">
        <is>
          <t>Chattanooga Family Care</t>
        </is>
      </c>
      <c r="C13" s="4" t="inlineStr">
        <is>
          <t>Family Medicine</t>
        </is>
      </c>
      <c r="D13" s="4" t="inlineStr">
        <is>
          <t>Chattanooga</t>
        </is>
      </c>
      <c r="E13" s="4" t="inlineStr">
        <is>
          <t>mystery_status</t>
        </is>
      </c>
      <c r="F13" s="15" t="n">
        <v>0</v>
      </c>
      <c r="G13" s="16" t="inlineStr">
        <is>
          <t>&lt; 30 Days</t>
        </is>
      </c>
      <c r="H13" s="12" t="inlineStr">
        <is>
          <t>WITHIN SLA</t>
        </is>
      </c>
    </row>
    <row r="14">
      <c r="A14" s="4" t="n">
        <v>14</v>
      </c>
      <c r="B14" s="5" t="inlineStr">
        <is>
          <t>Children's Primary Partners</t>
        </is>
      </c>
      <c r="C14" s="4" t="inlineStr">
        <is>
          <t>Pediatrics</t>
        </is>
      </c>
      <c r="D14" s="4" t="inlineStr">
        <is>
          <t>Nashville</t>
        </is>
      </c>
      <c r="E14" s="4" t="inlineStr">
        <is>
          <t>in_review</t>
        </is>
      </c>
      <c r="F14" s="15" t="n">
        <v>0</v>
      </c>
      <c r="G14" s="16" t="inlineStr">
        <is>
          <t>&lt; 30 Days</t>
        </is>
      </c>
      <c r="H14" s="17" t="inlineStr">
        <is>
          <t>SLA BREACH</t>
        </is>
      </c>
    </row>
    <row r="15">
      <c r="A15" s="4" t="n">
        <v>16</v>
      </c>
      <c r="B15" s="5" t="inlineStr">
        <is>
          <t>Memphis Oncology Center</t>
        </is>
      </c>
      <c r="C15" s="4" t="inlineStr">
        <is>
          <t>Oncology</t>
        </is>
      </c>
      <c r="D15" s="4" t="inlineStr">
        <is>
          <t>Memphis</t>
        </is>
      </c>
      <c r="E15" s="4" t="inlineStr">
        <is>
          <t>onboarding</t>
        </is>
      </c>
      <c r="F15" s="15" t="n">
        <v>0</v>
      </c>
      <c r="G15" s="16" t="inlineStr">
        <is>
          <t>&lt; 30 Days</t>
        </is>
      </c>
      <c r="H15" s="12" t="inlineStr">
        <is>
          <t>WITHIN SLA</t>
        </is>
      </c>
    </row>
    <row r="16">
      <c r="A16" s="4" t="n">
        <v>17</v>
      </c>
      <c r="B16" s="5" t="inlineStr">
        <is>
          <t>Chattanooga Family Care</t>
        </is>
      </c>
      <c r="C16" s="4" t="inlineStr">
        <is>
          <t>Family Medicine</t>
        </is>
      </c>
      <c r="D16" s="4" t="inlineStr">
        <is>
          <t>Chattanooga</t>
        </is>
      </c>
      <c r="E16" s="4" t="inlineStr">
        <is>
          <t>mystery_status</t>
        </is>
      </c>
      <c r="F16" s="15" t="n">
        <v>0</v>
      </c>
      <c r="G16" s="16" t="inlineStr">
        <is>
          <t>&lt; 30 Days</t>
        </is>
      </c>
      <c r="H16" s="12" t="inlineStr">
        <is>
          <t>WITHIN SLA</t>
        </is>
      </c>
    </row>
    <row r="17">
      <c r="A17" s="4" t="n">
        <v>19</v>
      </c>
      <c r="B17" s="5" t="inlineStr">
        <is>
          <t>Children's Primary Partners</t>
        </is>
      </c>
      <c r="C17" s="4" t="inlineStr">
        <is>
          <t>Pediatrics</t>
        </is>
      </c>
      <c r="D17" s="4" t="inlineStr">
        <is>
          <t>Nashville</t>
        </is>
      </c>
      <c r="E17" s="4" t="inlineStr">
        <is>
          <t>in_review</t>
        </is>
      </c>
      <c r="F17" s="15" t="n">
        <v>0</v>
      </c>
      <c r="G17" s="16" t="inlineStr">
        <is>
          <t>&lt; 30 Days</t>
        </is>
      </c>
      <c r="H17" s="17" t="inlineStr">
        <is>
          <t>SLA BREACH</t>
        </is>
      </c>
    </row>
    <row r="18">
      <c r="A18" s="4" t="n">
        <v>20</v>
      </c>
      <c r="B18" s="5" t="inlineStr">
        <is>
          <t>Volunteer Orthopedics</t>
        </is>
      </c>
      <c r="C18" s="4" t="inlineStr">
        <is>
          <t>Orthopedics</t>
        </is>
      </c>
      <c r="D18" s="4" t="inlineStr">
        <is>
          <t>Knoxville</t>
        </is>
      </c>
      <c r="E18" s="4" t="inlineStr">
        <is>
          <t>pending</t>
        </is>
      </c>
      <c r="F18" s="15" t="n">
        <v>0</v>
      </c>
      <c r="G18" s="16" t="inlineStr">
        <is>
          <t>&lt; 30 Days</t>
        </is>
      </c>
      <c r="H18" s="12" t="inlineStr">
        <is>
          <t>WITHIN SLA</t>
        </is>
      </c>
    </row>
    <row r="19">
      <c r="A19" s="4" t="n">
        <v>21</v>
      </c>
      <c r="B19" s="5" t="inlineStr">
        <is>
          <t>Memphis Oncology Center</t>
        </is>
      </c>
      <c r="C19" s="4" t="inlineStr">
        <is>
          <t>Oncology</t>
        </is>
      </c>
      <c r="D19" s="4" t="inlineStr">
        <is>
          <t>Memphis</t>
        </is>
      </c>
      <c r="E19" s="4" t="inlineStr">
        <is>
          <t>onboarding</t>
        </is>
      </c>
      <c r="F19" s="15" t="n">
        <v>0</v>
      </c>
      <c r="G19" s="16" t="inlineStr">
        <is>
          <t>&lt; 30 Days</t>
        </is>
      </c>
      <c r="H19" s="12" t="inlineStr">
        <is>
          <t>WITHIN SLA</t>
        </is>
      </c>
    </row>
    <row r="20">
      <c r="A20" s="4" t="n">
        <v>22</v>
      </c>
      <c r="B20" s="5" t="inlineStr">
        <is>
          <t>Chattanooga Family Care</t>
        </is>
      </c>
      <c r="C20" s="4" t="inlineStr">
        <is>
          <t>Family Medicine</t>
        </is>
      </c>
      <c r="D20" s="4" t="inlineStr">
        <is>
          <t>Chattanooga</t>
        </is>
      </c>
      <c r="E20" s="4" t="inlineStr">
        <is>
          <t>mystery_status</t>
        </is>
      </c>
      <c r="F20" s="15" t="n">
        <v>0</v>
      </c>
      <c r="G20" s="16" t="inlineStr">
        <is>
          <t>&lt; 30 Days</t>
        </is>
      </c>
      <c r="H20" s="12" t="inlineStr">
        <is>
          <t>WITHIN SLA</t>
        </is>
      </c>
    </row>
    <row r="21">
      <c r="A21" s="4" t="n">
        <v>24</v>
      </c>
      <c r="B21" s="5" t="inlineStr">
        <is>
          <t>Children's Primary Partners</t>
        </is>
      </c>
      <c r="C21" s="4" t="inlineStr">
        <is>
          <t>Pediatrics</t>
        </is>
      </c>
      <c r="D21" s="4" t="inlineStr">
        <is>
          <t>Nashville</t>
        </is>
      </c>
      <c r="E21" s="4" t="inlineStr">
        <is>
          <t>in_review</t>
        </is>
      </c>
      <c r="F21" s="15" t="n">
        <v>0</v>
      </c>
      <c r="G21" s="16" t="inlineStr">
        <is>
          <t>&lt; 30 Days</t>
        </is>
      </c>
      <c r="H21" s="17" t="inlineStr">
        <is>
          <t>SLA BREACH</t>
        </is>
      </c>
    </row>
    <row r="22">
      <c r="A22" s="4" t="n">
        <v>25</v>
      </c>
      <c r="B22" s="5" t="inlineStr">
        <is>
          <t>Volunteer Orthopedics</t>
        </is>
      </c>
      <c r="C22" s="4" t="inlineStr">
        <is>
          <t>Orthopedics</t>
        </is>
      </c>
      <c r="D22" s="4" t="inlineStr">
        <is>
          <t>Knoxville</t>
        </is>
      </c>
      <c r="E22" s="4" t="inlineStr">
        <is>
          <t>pending</t>
        </is>
      </c>
      <c r="F22" s="15" t="n">
        <v>0</v>
      </c>
      <c r="G22" s="16" t="inlineStr">
        <is>
          <t>&lt; 30 Days</t>
        </is>
      </c>
      <c r="H22" s="12" t="inlineStr">
        <is>
          <t>WITHIN SLA</t>
        </is>
      </c>
    </row>
    <row r="23">
      <c r="A23" s="4" t="n">
        <v>26</v>
      </c>
      <c r="B23" s="5" t="inlineStr">
        <is>
          <t>Memphis Oncology Center</t>
        </is>
      </c>
      <c r="C23" s="4" t="inlineStr">
        <is>
          <t>Oncology</t>
        </is>
      </c>
      <c r="D23" s="4" t="inlineStr">
        <is>
          <t>Memphis</t>
        </is>
      </c>
      <c r="E23" s="4" t="inlineStr">
        <is>
          <t>onboarding</t>
        </is>
      </c>
      <c r="F23" s="15" t="n">
        <v>0</v>
      </c>
      <c r="G23" s="16" t="inlineStr">
        <is>
          <t>&lt; 30 Days</t>
        </is>
      </c>
      <c r="H23" s="12" t="inlineStr">
        <is>
          <t>WITHIN SLA</t>
        </is>
      </c>
    </row>
    <row r="24">
      <c r="A24" s="4" t="n">
        <v>27</v>
      </c>
      <c r="B24" s="5" t="inlineStr">
        <is>
          <t>Chattanooga Family Care</t>
        </is>
      </c>
      <c r="C24" s="4" t="inlineStr">
        <is>
          <t>Family Medicine</t>
        </is>
      </c>
      <c r="D24" s="4" t="inlineStr">
        <is>
          <t>Chattanooga</t>
        </is>
      </c>
      <c r="E24" s="4" t="inlineStr">
        <is>
          <t>mystery_status</t>
        </is>
      </c>
      <c r="F24" s="15" t="n">
        <v>0</v>
      </c>
      <c r="G24" s="16" t="inlineStr">
        <is>
          <t>&lt; 30 Days</t>
        </is>
      </c>
      <c r="H24" s="12" t="inlineStr">
        <is>
          <t>WITHIN SLA</t>
        </is>
      </c>
    </row>
    <row r="25">
      <c r="A25" s="4" t="n">
        <v>29</v>
      </c>
      <c r="B25" s="5" t="inlineStr">
        <is>
          <t>Children's Primary Partners</t>
        </is>
      </c>
      <c r="C25" s="4" t="inlineStr">
        <is>
          <t>Pediatrics</t>
        </is>
      </c>
      <c r="D25" s="4" t="inlineStr">
        <is>
          <t>Nashville</t>
        </is>
      </c>
      <c r="E25" s="4" t="inlineStr">
        <is>
          <t>in_review</t>
        </is>
      </c>
      <c r="F25" s="15" t="n">
        <v>0</v>
      </c>
      <c r="G25" s="16" t="inlineStr">
        <is>
          <t>&lt; 30 Days</t>
        </is>
      </c>
      <c r="H25" s="17" t="inlineStr">
        <is>
          <t>SLA BREACH</t>
        </is>
      </c>
    </row>
    <row r="26">
      <c r="A26" s="4" t="n">
        <v>30</v>
      </c>
      <c r="B26" s="5" t="inlineStr">
        <is>
          <t>Volunteer Orthopedics</t>
        </is>
      </c>
      <c r="C26" s="4" t="inlineStr">
        <is>
          <t>Orthopedics</t>
        </is>
      </c>
      <c r="D26" s="4" t="inlineStr">
        <is>
          <t>Knoxville</t>
        </is>
      </c>
      <c r="E26" s="4" t="inlineStr">
        <is>
          <t>pending</t>
        </is>
      </c>
      <c r="F26" s="15" t="n">
        <v>0</v>
      </c>
      <c r="G26" s="16" t="inlineStr">
        <is>
          <t>&lt; 30 Days</t>
        </is>
      </c>
      <c r="H26" s="12" t="inlineStr">
        <is>
          <t>WITHIN SLA</t>
        </is>
      </c>
    </row>
    <row r="27">
      <c r="A27" s="4" t="n">
        <v>31</v>
      </c>
      <c r="B27" s="5" t="inlineStr">
        <is>
          <t>Memphis Oncology Center</t>
        </is>
      </c>
      <c r="C27" s="4" t="inlineStr">
        <is>
          <t>Oncology</t>
        </is>
      </c>
      <c r="D27" s="4" t="inlineStr">
        <is>
          <t>Memphis</t>
        </is>
      </c>
      <c r="E27" s="4" t="inlineStr">
        <is>
          <t>onboarding</t>
        </is>
      </c>
      <c r="F27" s="15" t="n">
        <v>0</v>
      </c>
      <c r="G27" s="16" t="inlineStr">
        <is>
          <t>&lt; 30 Days</t>
        </is>
      </c>
      <c r="H27" s="12" t="inlineStr">
        <is>
          <t>WITHIN SLA</t>
        </is>
      </c>
    </row>
    <row r="28">
      <c r="A28" s="4" t="n">
        <v>33</v>
      </c>
      <c r="B28" s="5" t="inlineStr">
        <is>
          <t>Allied Cardiology Group</t>
        </is>
      </c>
      <c r="C28" s="4" t="inlineStr">
        <is>
          <t>Cardiology</t>
        </is>
      </c>
      <c r="D28" s="4" t="inlineStr">
        <is>
          <t>Nashville</t>
        </is>
      </c>
      <c r="E28" s="4" t="inlineStr">
        <is>
          <t>in_review</t>
        </is>
      </c>
      <c r="F28" s="15" t="n">
        <v>0</v>
      </c>
      <c r="G28" s="16" t="inlineStr">
        <is>
          <t>&lt; 30 Days</t>
        </is>
      </c>
      <c r="H28" s="12" t="inlineStr">
        <is>
          <t>WITHIN SLA</t>
        </is>
      </c>
    </row>
    <row r="29">
      <c r="A29" s="4" t="n">
        <v>34</v>
      </c>
      <c r="B29" s="5" t="inlineStr">
        <is>
          <t>Children's Primary Partners</t>
        </is>
      </c>
      <c r="C29" s="4" t="inlineStr">
        <is>
          <t>Pediatrics</t>
        </is>
      </c>
      <c r="D29" s="4" t="inlineStr">
        <is>
          <t>Nashville</t>
        </is>
      </c>
      <c r="E29" s="4" t="inlineStr">
        <is>
          <t>pending</t>
        </is>
      </c>
      <c r="F29" s="15" t="n">
        <v>0</v>
      </c>
      <c r="G29" s="16" t="inlineStr">
        <is>
          <t>&lt; 30 Days</t>
        </is>
      </c>
      <c r="H29" s="17" t="inlineStr">
        <is>
          <t>SLA BREACH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2026-09-18T15:37:18Z</dcterms:created>
  <dcterms:modified xmlns:dcterms="http://purl.org/dc/terms/" xmlns:xsi="http://www.w3.org/2001/XMLSchema-instance" xsi:type="dcterms:W3CDTF">2026-09-18T15:37:18Z</dcterms:modified>
</cp:coreProperties>
</file>